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k32\내 드라이브\Obsidian Vault\Obsidian_School\가천대학교\GIC\4기\GIC 리서치 프롬프트 모델 생성 프로젝트\version10.0\templates\"/>
    </mc:Choice>
  </mc:AlternateContent>
  <xr:revisionPtr revIDLastSave="0" documentId="13_ncr:1_{D5EF30AC-4FE6-492F-8A5F-EEAE7D8F078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ssumptions" sheetId="1" r:id="rId1"/>
    <sheet name="IS" sheetId="2" r:id="rId2"/>
    <sheet name="BS" sheetId="3" r:id="rId3"/>
    <sheet name="CF" sheetId="4" r:id="rId4"/>
    <sheet name="Valuation" sheetId="5" r:id="rId5"/>
    <sheet name="Scenario" sheetId="6" r:id="rId6"/>
    <sheet name="Sensitivity" sheetId="7" r:id="rId7"/>
    <sheet name="Summary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B9" i="8"/>
  <c r="F8" i="5"/>
  <c r="E8" i="5"/>
  <c r="B6" i="8" s="1"/>
  <c r="B8" i="8" s="1"/>
  <c r="E7" i="5"/>
  <c r="E6" i="5"/>
  <c r="E5" i="5"/>
  <c r="E4" i="5"/>
  <c r="F9" i="4"/>
  <c r="E9" i="4"/>
  <c r="D9" i="4"/>
  <c r="C9" i="4"/>
  <c r="B9" i="4"/>
  <c r="F8" i="4"/>
  <c r="E8" i="4"/>
  <c r="D8" i="4"/>
  <c r="C8" i="4"/>
  <c r="B8" i="4"/>
  <c r="F10" i="3"/>
  <c r="E10" i="3"/>
  <c r="D10" i="3"/>
  <c r="C10" i="3"/>
  <c r="B10" i="3"/>
  <c r="F9" i="3"/>
  <c r="E9" i="3"/>
  <c r="D9" i="3"/>
  <c r="C9" i="3"/>
  <c r="B9" i="3"/>
  <c r="B13" i="8" s="1"/>
  <c r="F13" i="2"/>
  <c r="E13" i="2"/>
  <c r="D13" i="2"/>
  <c r="C13" i="2"/>
  <c r="F12" i="2"/>
  <c r="E12" i="2"/>
  <c r="D12" i="2"/>
  <c r="C12" i="2"/>
  <c r="B12" i="2"/>
  <c r="D7" i="2"/>
  <c r="F6" i="2"/>
  <c r="F7" i="2" s="1"/>
  <c r="E6" i="2"/>
  <c r="E7" i="2" s="1"/>
  <c r="D6" i="2"/>
  <c r="D9" i="2" s="1"/>
  <c r="D10" i="2" s="1"/>
  <c r="C6" i="2"/>
  <c r="C7" i="2" s="1"/>
  <c r="B6" i="2"/>
  <c r="B7" i="2" s="1"/>
  <c r="C9" i="2" l="1"/>
  <c r="C10" i="2" s="1"/>
  <c r="B9" i="2"/>
  <c r="E9" i="2"/>
  <c r="E10" i="2" s="1"/>
  <c r="F9" i="2"/>
  <c r="F10" i="2" s="1"/>
  <c r="B10" i="8" l="1"/>
  <c r="B10" i="2"/>
  <c r="E5" i="6"/>
  <c r="C5" i="6"/>
  <c r="D5" i="6"/>
  <c r="B5" i="6"/>
  <c r="F5" i="6"/>
  <c r="F4" i="6"/>
  <c r="E4" i="6"/>
  <c r="D4" i="6"/>
  <c r="B4" i="6"/>
  <c r="C4" i="6"/>
  <c r="C6" i="6"/>
  <c r="F6" i="6"/>
  <c r="D6" i="6"/>
  <c r="B6" i="6"/>
  <c r="E6" i="6"/>
</calcChain>
</file>

<file path=xl/sharedStrings.xml><?xml version="1.0" encoding="utf-8"?>
<sst xmlns="http://schemas.openxmlformats.org/spreadsheetml/2006/main" count="116" uniqueCount="90">
  <si>
    <t>1. Assumptions — Bear / Base / Bull 가정표</t>
  </si>
  <si>
    <t>기업명·분석 기준일: [입력]</t>
  </si>
  <si>
    <t>항목</t>
  </si>
  <si>
    <t>Bear</t>
  </si>
  <si>
    <t>Base</t>
  </si>
  <si>
    <t>Bull</t>
  </si>
  <si>
    <t>매출 5Y CAGR (%)</t>
  </si>
  <si>
    <t>영업이익률 FY5 (%)</t>
  </si>
  <si>
    <t>적용 PER (배)</t>
  </si>
  <si>
    <t>적용 EV/EBITDA (배)</t>
  </si>
  <si>
    <t>적용 PBR (배)</t>
  </si>
  <si>
    <t>WACC (%)</t>
  </si>
  <si>
    <t>Terminal Growth (%)</t>
  </si>
  <si>
    <t>2. IS — 5개년 손익계산서 (단위: 십억원)</t>
  </si>
  <si>
    <t>FY1</t>
  </si>
  <si>
    <t>FY2</t>
  </si>
  <si>
    <t>FY3E</t>
  </si>
  <si>
    <t>FY4E</t>
  </si>
  <si>
    <t>FY5E</t>
  </si>
  <si>
    <t>비고</t>
  </si>
  <si>
    <t>매출액</t>
  </si>
  <si>
    <t>매출원가</t>
  </si>
  <si>
    <t>매출총이익</t>
  </si>
  <si>
    <t>(자동 계산)</t>
  </si>
  <si>
    <t>매출총이익률 (%)</t>
  </si>
  <si>
    <t>판관비</t>
  </si>
  <si>
    <t>영업이익</t>
  </si>
  <si>
    <t>영업이익률 (%)</t>
  </si>
  <si>
    <t>당기순이익</t>
  </si>
  <si>
    <t>순이익률 (%)</t>
  </si>
  <si>
    <t>매출 YoY (%)</t>
  </si>
  <si>
    <t>3. BS — 5개년 재무상태표 (단위: 십억원)</t>
  </si>
  <si>
    <t>Balance Check</t>
  </si>
  <si>
    <t>자산총계</t>
  </si>
  <si>
    <t>부채총계</t>
  </si>
  <si>
    <t>자본총계</t>
  </si>
  <si>
    <t>현금성자산</t>
  </si>
  <si>
    <t>차입금</t>
  </si>
  <si>
    <t>순차입금 (= 차입금 - 현금성자산)</t>
  </si>
  <si>
    <t>4. CF — 5개년 현금흐름표 (단위: 십억원)</t>
  </si>
  <si>
    <t>영업CF</t>
  </si>
  <si>
    <t>투자CF</t>
  </si>
  <si>
    <t>재무CF</t>
  </si>
  <si>
    <t>CAPEX</t>
  </si>
  <si>
    <t>FCF (= 영업CF - CAPEX)</t>
  </si>
  <si>
    <t>CAPEX / 매출 (%)</t>
  </si>
  <si>
    <t>5. Valuation — 4종 밸류에이션 (단위: 원)</t>
  </si>
  <si>
    <t>방법론</t>
  </si>
  <si>
    <t>가중 평균</t>
  </si>
  <si>
    <t>PER 적용</t>
  </si>
  <si>
    <t>FY5 EPS × 적용 PER</t>
  </si>
  <si>
    <t>EV/EBITDA 적용</t>
  </si>
  <si>
    <t>(EBITDA × 멀티플 - 순차입금) / 주식수</t>
  </si>
  <si>
    <t>PBR 적용</t>
  </si>
  <si>
    <t>BPS × 적용 PBR</t>
  </si>
  <si>
    <t>DCF (선택)</t>
  </si>
  <si>
    <t>5개년 FCF 할인 + TV</t>
  </si>
  <si>
    <t>최종 목표주가</t>
  </si>
  <si>
    <t>6. Scenario — EPS × PER 매트릭스</t>
  </si>
  <si>
    <t>EPS \ PER</t>
  </si>
  <si>
    <t>PER 16x</t>
  </si>
  <si>
    <t>PER 18x</t>
  </si>
  <si>
    <t>PER 20x</t>
  </si>
  <si>
    <t>PER 22x</t>
  </si>
  <si>
    <t>PER 24x</t>
  </si>
  <si>
    <t>EPS Bear</t>
  </si>
  <si>
    <t>EPS Base</t>
  </si>
  <si>
    <t>EPS Bull</t>
  </si>
  <si>
    <t>7. Sensitivity — 매출 ±15% × OPM ±2%p 민감도</t>
  </si>
  <si>
    <t>매출 \ OPM</t>
  </si>
  <si>
    <t>-2%p</t>
  </si>
  <si>
    <t>-1%p</t>
  </si>
  <si>
    <t>+1%p</t>
  </si>
  <si>
    <t>+2%p</t>
  </si>
  <si>
    <t>-15%</t>
  </si>
  <si>
    <t>-7.5%</t>
  </si>
  <si>
    <t>+7.5%</t>
  </si>
  <si>
    <t>+15%</t>
  </si>
  <si>
    <t>8. Summary — 1페이지 요약 (다른 시트 참조)</t>
  </si>
  <si>
    <t>종목명·종목코드</t>
  </si>
  <si>
    <t>분석 기준일</t>
  </si>
  <si>
    <t>투자의견</t>
  </si>
  <si>
    <t>목표주가 (가중)</t>
  </si>
  <si>
    <t>현재가</t>
  </si>
  <si>
    <t>상승여력 (%)</t>
  </si>
  <si>
    <t>FY1 매출 (십억원)</t>
  </si>
  <si>
    <t>FY1 영업이익</t>
  </si>
  <si>
    <t>FY1 순이익</t>
  </si>
  <si>
    <t>FY1 ROE (%)</t>
  </si>
  <si>
    <t>Balance Check (FY1)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</si>
</sst>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color rgb="FF072A5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맑은 고딕"/>
      <family val="3"/>
      <charset val="129"/>
    </font>
    <font>
      <i/>
      <sz val="10"/>
      <color rgb="FF8A8A8A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9D6"/>
      </patternFill>
    </fill>
    <fill>
      <patternFill patternType="solid">
        <fgColor rgb="FF072A5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0" fillId="2" borderId="1" xfId="0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4" fillId="0" borderId="0" xfId="0" applyFont="1"/>
    <xf numFmtId="0" fontId="5" fillId="3" borderId="0" xfId="0" applyFont="1" applyFill="1"/>
    <xf numFmtId="0" fontId="1" fillId="0" borderId="0" xfId="0" applyFont="1"/>
    <xf numFmtId="0" fontId="0" fillId="0" borderId="0" xfId="0"/>
  </cellXfs>
  <cellStyles count="1">
    <cellStyle name="표준" xfId="0" builtinId="0"/>
  </cellStyles>
  <dxfs count="2">
    <dxf>
      <font>
        <b/>
        <color rgb="FFFFFFFF"/>
      </font>
      <fill>
        <patternFill patternType="solid">
          <fgColor rgb="FFEF4444"/>
        </patternFill>
      </fill>
    </dxf>
    <dxf>
      <font>
        <b/>
        <color rgb="FFFFFFFF"/>
      </font>
      <fill>
        <patternFill patternType="solid">
          <fgColor rgb="FF22C55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72A51"/>
  </sheetPr>
  <dimension ref="A1:D10"/>
  <sheetViews>
    <sheetView tabSelected="1" workbookViewId="0">
      <selection sqref="A1:D1"/>
    </sheetView>
  </sheetViews>
  <sheetFormatPr defaultRowHeight="16.899999999999999" x14ac:dyDescent="0.6"/>
  <cols>
    <col min="1" max="1" width="30" customWidth="1"/>
    <col min="2" max="4" width="14" customWidth="1"/>
  </cols>
  <sheetData>
    <row r="1" spans="1:4" ht="20.65" x14ac:dyDescent="0.7">
      <c r="A1" s="8" t="s">
        <v>0</v>
      </c>
      <c r="B1" s="9"/>
      <c r="C1" s="9"/>
      <c r="D1" s="9"/>
    </row>
    <row r="2" spans="1:4" x14ac:dyDescent="0.6">
      <c r="A2" s="1" t="s">
        <v>1</v>
      </c>
    </row>
    <row r="3" spans="1:4" x14ac:dyDescent="0.6">
      <c r="A3" s="2" t="s">
        <v>2</v>
      </c>
      <c r="B3" s="2" t="s">
        <v>3</v>
      </c>
      <c r="C3" s="2" t="s">
        <v>4</v>
      </c>
      <c r="D3" s="2" t="s">
        <v>5</v>
      </c>
    </row>
    <row r="4" spans="1:4" x14ac:dyDescent="0.6">
      <c r="A4" s="3" t="s">
        <v>6</v>
      </c>
      <c r="B4" s="4">
        <v>-2</v>
      </c>
      <c r="C4" s="4">
        <v>8</v>
      </c>
      <c r="D4" s="4">
        <v>18</v>
      </c>
    </row>
    <row r="5" spans="1:4" x14ac:dyDescent="0.6">
      <c r="A5" s="3" t="s">
        <v>7</v>
      </c>
      <c r="B5" s="4">
        <v>8</v>
      </c>
      <c r="C5" s="4">
        <v>14</v>
      </c>
      <c r="D5" s="4">
        <v>18</v>
      </c>
    </row>
    <row r="6" spans="1:4" x14ac:dyDescent="0.6">
      <c r="A6" s="3" t="s">
        <v>8</v>
      </c>
      <c r="B6" s="4">
        <v>12</v>
      </c>
      <c r="C6" s="4">
        <v>18</v>
      </c>
      <c r="D6" s="4">
        <v>24</v>
      </c>
    </row>
    <row r="7" spans="1:4" x14ac:dyDescent="0.6">
      <c r="A7" s="3" t="s">
        <v>9</v>
      </c>
      <c r="B7" s="4">
        <v>6</v>
      </c>
      <c r="C7" s="4">
        <v>9</v>
      </c>
      <c r="D7" s="4">
        <v>12</v>
      </c>
    </row>
    <row r="8" spans="1:4" x14ac:dyDescent="0.6">
      <c r="A8" s="3" t="s">
        <v>10</v>
      </c>
      <c r="B8" s="4">
        <v>1</v>
      </c>
      <c r="C8" s="4">
        <v>1.5</v>
      </c>
      <c r="D8" s="4">
        <v>2.2000000000000002</v>
      </c>
    </row>
    <row r="9" spans="1:4" x14ac:dyDescent="0.6">
      <c r="A9" s="3" t="s">
        <v>11</v>
      </c>
      <c r="B9" s="4">
        <v>9</v>
      </c>
      <c r="C9" s="4">
        <v>8</v>
      </c>
      <c r="D9" s="4">
        <v>7</v>
      </c>
    </row>
    <row r="10" spans="1:4" x14ac:dyDescent="0.6">
      <c r="A10" s="3" t="s">
        <v>12</v>
      </c>
      <c r="B10" s="4">
        <v>1</v>
      </c>
      <c r="C10" s="4">
        <v>2</v>
      </c>
      <c r="D10" s="4">
        <v>3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D4889"/>
  </sheetPr>
  <dimension ref="A1:G13"/>
  <sheetViews>
    <sheetView workbookViewId="0">
      <selection sqref="A1:G1"/>
    </sheetView>
  </sheetViews>
  <sheetFormatPr defaultRowHeight="16.899999999999999" x14ac:dyDescent="0.6"/>
  <cols>
    <col min="1" max="1" width="22" customWidth="1"/>
    <col min="2" max="6" width="12" customWidth="1"/>
    <col min="7" max="7" width="16" customWidth="1"/>
  </cols>
  <sheetData>
    <row r="1" spans="1:7" ht="20.65" x14ac:dyDescent="0.7">
      <c r="A1" s="8" t="s">
        <v>13</v>
      </c>
      <c r="B1" s="9"/>
      <c r="C1" s="9"/>
      <c r="D1" s="9"/>
      <c r="E1" s="9"/>
      <c r="F1" s="9"/>
      <c r="G1" s="9"/>
    </row>
    <row r="3" spans="1:7" x14ac:dyDescent="0.6">
      <c r="A3" s="2" t="s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6">
      <c r="A4" s="3" t="s">
        <v>20</v>
      </c>
      <c r="B4" s="4"/>
      <c r="C4" s="4"/>
      <c r="D4" s="4"/>
      <c r="E4" s="4"/>
      <c r="F4" s="4"/>
    </row>
    <row r="5" spans="1:7" x14ac:dyDescent="0.6">
      <c r="A5" s="3" t="s">
        <v>21</v>
      </c>
      <c r="B5" s="4"/>
      <c r="C5" s="4"/>
      <c r="D5" s="4"/>
      <c r="E5" s="4"/>
      <c r="F5" s="4"/>
    </row>
    <row r="6" spans="1:7" x14ac:dyDescent="0.6">
      <c r="A6" s="3" t="s">
        <v>22</v>
      </c>
      <c r="B6" s="5">
        <f>B4-B5</f>
        <v>0</v>
      </c>
      <c r="C6" s="5">
        <f>C4-C5</f>
        <v>0</v>
      </c>
      <c r="D6" s="5">
        <f>D4-D5</f>
        <v>0</v>
      </c>
      <c r="E6" s="5">
        <f>E4-E5</f>
        <v>0</v>
      </c>
      <c r="F6" s="5">
        <f>F4-F5</f>
        <v>0</v>
      </c>
      <c r="G6" s="6" t="s">
        <v>23</v>
      </c>
    </row>
    <row r="7" spans="1:7" x14ac:dyDescent="0.6">
      <c r="A7" s="3" t="s">
        <v>24</v>
      </c>
      <c r="B7" s="5">
        <f>IFERROR(B6/B4*100,0)</f>
        <v>0</v>
      </c>
      <c r="C7" s="5">
        <f>IFERROR(C6/C4*100,0)</f>
        <v>0</v>
      </c>
      <c r="D7" s="5">
        <f>IFERROR(D6/D4*100,0)</f>
        <v>0</v>
      </c>
      <c r="E7" s="5">
        <f>IFERROR(E6/E4*100,0)</f>
        <v>0</v>
      </c>
      <c r="F7" s="5">
        <f>IFERROR(F6/F4*100,0)</f>
        <v>0</v>
      </c>
      <c r="G7" s="6" t="s">
        <v>23</v>
      </c>
    </row>
    <row r="8" spans="1:7" x14ac:dyDescent="0.6">
      <c r="A8" s="3" t="s">
        <v>25</v>
      </c>
      <c r="B8" s="4"/>
      <c r="C8" s="4"/>
      <c r="D8" s="4"/>
      <c r="E8" s="4"/>
      <c r="F8" s="4"/>
    </row>
    <row r="9" spans="1:7" x14ac:dyDescent="0.6">
      <c r="A9" s="3" t="s">
        <v>26</v>
      </c>
      <c r="B9" s="5">
        <f>B6-B8</f>
        <v>0</v>
      </c>
      <c r="C9" s="5">
        <f>C6-C8</f>
        <v>0</v>
      </c>
      <c r="D9" s="5">
        <f>D6-D8</f>
        <v>0</v>
      </c>
      <c r="E9" s="5">
        <f>E6-E8</f>
        <v>0</v>
      </c>
      <c r="F9" s="5">
        <f>F6-F8</f>
        <v>0</v>
      </c>
      <c r="G9" s="6" t="s">
        <v>23</v>
      </c>
    </row>
    <row r="10" spans="1:7" x14ac:dyDescent="0.6">
      <c r="A10" s="3" t="s">
        <v>27</v>
      </c>
      <c r="B10" s="5">
        <f>IFERROR(B9/B4*100,0)</f>
        <v>0</v>
      </c>
      <c r="C10" s="5">
        <f>IFERROR(C9/C4*100,0)</f>
        <v>0</v>
      </c>
      <c r="D10" s="5">
        <f>IFERROR(D9/D4*100,0)</f>
        <v>0</v>
      </c>
      <c r="E10" s="5">
        <f>IFERROR(E9/E4*100,0)</f>
        <v>0</v>
      </c>
      <c r="F10" s="5">
        <f>IFERROR(F9/F4*100,0)</f>
        <v>0</v>
      </c>
      <c r="G10" s="6" t="s">
        <v>23</v>
      </c>
    </row>
    <row r="11" spans="1:7" x14ac:dyDescent="0.6">
      <c r="A11" s="3" t="s">
        <v>28</v>
      </c>
      <c r="B11" s="4"/>
      <c r="C11" s="4"/>
      <c r="D11" s="4"/>
      <c r="E11" s="4"/>
      <c r="F11" s="4"/>
    </row>
    <row r="12" spans="1:7" x14ac:dyDescent="0.6">
      <c r="A12" s="3" t="s">
        <v>29</v>
      </c>
      <c r="B12" s="5">
        <f>IFERROR(B11/B4*100,0)</f>
        <v>0</v>
      </c>
      <c r="C12" s="5">
        <f>IFERROR(C11/C4*100,0)</f>
        <v>0</v>
      </c>
      <c r="D12" s="5">
        <f>IFERROR(D11/D4*100,0)</f>
        <v>0</v>
      </c>
      <c r="E12" s="5">
        <f>IFERROR(E11/E4*100,0)</f>
        <v>0</v>
      </c>
      <c r="F12" s="5">
        <f>IFERROR(F11/F4*100,0)</f>
        <v>0</v>
      </c>
      <c r="G12" s="6" t="s">
        <v>23</v>
      </c>
    </row>
    <row r="13" spans="1:7" x14ac:dyDescent="0.6">
      <c r="A13" s="3" t="s">
        <v>30</v>
      </c>
      <c r="B13" s="5"/>
      <c r="C13" s="5">
        <f>IFERROR((C4/B4-1)*100,0)</f>
        <v>0</v>
      </c>
      <c r="D13" s="5">
        <f>IFERROR((D4/C4-1)*100,0)</f>
        <v>0</v>
      </c>
      <c r="E13" s="5">
        <f>IFERROR((E4/D4-1)*100,0)</f>
        <v>0</v>
      </c>
      <c r="F13" s="5">
        <f>IFERROR((F4/E4-1)*100,0)</f>
        <v>0</v>
      </c>
      <c r="G13" s="6" t="s">
        <v>23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4889"/>
  </sheetPr>
  <dimension ref="A1:G10"/>
  <sheetViews>
    <sheetView workbookViewId="0">
      <selection sqref="A1:G1"/>
    </sheetView>
  </sheetViews>
  <sheetFormatPr defaultRowHeight="16.899999999999999" x14ac:dyDescent="0.6"/>
  <cols>
    <col min="1" max="1" width="28" customWidth="1"/>
    <col min="2" max="7" width="13" customWidth="1"/>
  </cols>
  <sheetData>
    <row r="1" spans="1:7" ht="20.65" x14ac:dyDescent="0.7">
      <c r="A1" s="8" t="s">
        <v>31</v>
      </c>
      <c r="B1" s="9"/>
      <c r="C1" s="9"/>
      <c r="D1" s="9"/>
      <c r="E1" s="9"/>
      <c r="F1" s="9"/>
      <c r="G1" s="9"/>
    </row>
    <row r="3" spans="1:7" x14ac:dyDescent="0.6">
      <c r="A3" s="2" t="s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32</v>
      </c>
    </row>
    <row r="4" spans="1:7" x14ac:dyDescent="0.6">
      <c r="A4" s="3" t="s">
        <v>33</v>
      </c>
      <c r="B4" s="4"/>
      <c r="C4" s="4"/>
      <c r="D4" s="4"/>
      <c r="E4" s="4"/>
      <c r="F4" s="4"/>
    </row>
    <row r="5" spans="1:7" x14ac:dyDescent="0.6">
      <c r="A5" s="3" t="s">
        <v>34</v>
      </c>
      <c r="B5" s="4"/>
      <c r="C5" s="4"/>
      <c r="D5" s="4"/>
      <c r="E5" s="4"/>
      <c r="F5" s="4"/>
    </row>
    <row r="6" spans="1:7" x14ac:dyDescent="0.6">
      <c r="A6" s="3" t="s">
        <v>35</v>
      </c>
      <c r="B6" s="4"/>
      <c r="C6" s="4"/>
      <c r="D6" s="4"/>
      <c r="E6" s="4"/>
      <c r="F6" s="4"/>
    </row>
    <row r="7" spans="1:7" x14ac:dyDescent="0.6">
      <c r="A7" s="3" t="s">
        <v>36</v>
      </c>
      <c r="B7" s="4"/>
      <c r="C7" s="4"/>
      <c r="D7" s="4"/>
      <c r="E7" s="4"/>
      <c r="F7" s="4"/>
    </row>
    <row r="8" spans="1:7" x14ac:dyDescent="0.6">
      <c r="A8" s="3" t="s">
        <v>37</v>
      </c>
      <c r="B8" s="4"/>
      <c r="C8" s="4"/>
      <c r="D8" s="4"/>
      <c r="E8" s="4"/>
      <c r="F8" s="4"/>
    </row>
    <row r="9" spans="1:7" x14ac:dyDescent="0.6">
      <c r="A9" s="3" t="s">
        <v>32</v>
      </c>
      <c r="B9" s="5" t="str">
        <f>IF(B4=B5+B6,"OK","ERROR")</f>
        <v>OK</v>
      </c>
      <c r="C9" s="5" t="str">
        <f>IF(C4=C5+C6,"OK","ERROR")</f>
        <v>OK</v>
      </c>
      <c r="D9" s="5" t="str">
        <f>IF(D4=D5+D6,"OK","ERROR")</f>
        <v>OK</v>
      </c>
      <c r="E9" s="5" t="str">
        <f>IF(E4=E5+E6,"OK","ERROR")</f>
        <v>OK</v>
      </c>
      <c r="F9" s="5" t="str">
        <f>IF(F4=F5+F6,"OK","ERROR")</f>
        <v>OK</v>
      </c>
    </row>
    <row r="10" spans="1:7" x14ac:dyDescent="0.6">
      <c r="A10" s="3" t="s">
        <v>38</v>
      </c>
      <c r="B10" s="5">
        <f>B8-B7</f>
        <v>0</v>
      </c>
      <c r="C10" s="5">
        <f>C8-C7</f>
        <v>0</v>
      </c>
      <c r="D10" s="5">
        <f>D8-D7</f>
        <v>0</v>
      </c>
      <c r="E10" s="5">
        <f>E8-E7</f>
        <v>0</v>
      </c>
      <c r="F10" s="5">
        <f>F8-F7</f>
        <v>0</v>
      </c>
    </row>
  </sheetData>
  <mergeCells count="1">
    <mergeCell ref="A1:G1"/>
  </mergeCells>
  <phoneticPr fontId="6" type="noConversion"/>
  <conditionalFormatting sqref="B9:F9">
    <cfRule type="cellIs" dxfId="1" priority="1" operator="equal">
      <formula>"OK"</formula>
    </cfRule>
    <cfRule type="cellIs" dxfId="0" priority="2" operator="equal">
      <formula>"ERROR"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D4889"/>
  </sheetPr>
  <dimension ref="A1:G9"/>
  <sheetViews>
    <sheetView workbookViewId="0">
      <selection sqref="A1:G1"/>
    </sheetView>
  </sheetViews>
  <sheetFormatPr defaultRowHeight="16.899999999999999" x14ac:dyDescent="0.6"/>
  <cols>
    <col min="1" max="1" width="28" customWidth="1"/>
    <col min="2" max="7" width="12" customWidth="1"/>
  </cols>
  <sheetData>
    <row r="1" spans="1:7" ht="20.65" x14ac:dyDescent="0.7">
      <c r="A1" s="8" t="s">
        <v>39</v>
      </c>
      <c r="B1" s="9"/>
      <c r="C1" s="9"/>
      <c r="D1" s="9"/>
      <c r="E1" s="9"/>
      <c r="F1" s="9"/>
      <c r="G1" s="9"/>
    </row>
    <row r="3" spans="1:7" x14ac:dyDescent="0.6">
      <c r="A3" s="2" t="s">
        <v>2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x14ac:dyDescent="0.6">
      <c r="A4" s="3" t="s">
        <v>40</v>
      </c>
      <c r="B4" s="4"/>
      <c r="C4" s="4"/>
      <c r="D4" s="4"/>
      <c r="E4" s="4"/>
      <c r="F4" s="4"/>
    </row>
    <row r="5" spans="1:7" x14ac:dyDescent="0.6">
      <c r="A5" s="3" t="s">
        <v>41</v>
      </c>
      <c r="B5" s="4"/>
      <c r="C5" s="4"/>
      <c r="D5" s="4"/>
      <c r="E5" s="4"/>
      <c r="F5" s="4"/>
    </row>
    <row r="6" spans="1:7" x14ac:dyDescent="0.6">
      <c r="A6" s="3" t="s">
        <v>42</v>
      </c>
      <c r="B6" s="4"/>
      <c r="C6" s="4"/>
      <c r="D6" s="4"/>
      <c r="E6" s="4"/>
      <c r="F6" s="4"/>
    </row>
    <row r="7" spans="1:7" x14ac:dyDescent="0.6">
      <c r="A7" s="3" t="s">
        <v>43</v>
      </c>
      <c r="B7" s="4"/>
      <c r="C7" s="4"/>
      <c r="D7" s="4"/>
      <c r="E7" s="4"/>
      <c r="F7" s="4"/>
    </row>
    <row r="8" spans="1:7" x14ac:dyDescent="0.6">
      <c r="A8" s="3" t="s">
        <v>44</v>
      </c>
      <c r="B8" s="5">
        <f>B4-B7</f>
        <v>0</v>
      </c>
      <c r="C8" s="5">
        <f>C4-C7</f>
        <v>0</v>
      </c>
      <c r="D8" s="5">
        <f>D4-D7</f>
        <v>0</v>
      </c>
      <c r="E8" s="5">
        <f>E4-E7</f>
        <v>0</v>
      </c>
      <c r="F8" s="5">
        <f>F4-F7</f>
        <v>0</v>
      </c>
    </row>
    <row r="9" spans="1:7" x14ac:dyDescent="0.6">
      <c r="A9" s="3" t="s">
        <v>45</v>
      </c>
      <c r="B9" s="5">
        <f>IFERROR(B7/IS!B4*100,0)</f>
        <v>0</v>
      </c>
      <c r="C9" s="5">
        <f>IFERROR(C7/IS!C4*100,0)</f>
        <v>0</v>
      </c>
      <c r="D9" s="5">
        <f>IFERROR(D7/IS!D4*100,0)</f>
        <v>0</v>
      </c>
      <c r="E9" s="5">
        <f>IFERROR(E7/IS!E4*100,0)</f>
        <v>0</v>
      </c>
      <c r="F9" s="5">
        <f>IFERROR(F7/IS!F4*100,0)</f>
        <v>0</v>
      </c>
    </row>
  </sheetData>
  <mergeCells count="1">
    <mergeCell ref="A1:G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57728"/>
  </sheetPr>
  <dimension ref="A1:F8"/>
  <sheetViews>
    <sheetView workbookViewId="0">
      <selection sqref="A1:F1"/>
    </sheetView>
  </sheetViews>
  <sheetFormatPr defaultRowHeight="16.899999999999999" x14ac:dyDescent="0.6"/>
  <cols>
    <col min="1" max="1" width="22" customWidth="1"/>
    <col min="2" max="5" width="14" customWidth="1"/>
    <col min="6" max="6" width="30" customWidth="1"/>
  </cols>
  <sheetData>
    <row r="1" spans="1:6" ht="20.65" x14ac:dyDescent="0.7">
      <c r="A1" s="8" t="s">
        <v>46</v>
      </c>
      <c r="B1" s="9"/>
      <c r="C1" s="9"/>
      <c r="D1" s="9"/>
      <c r="E1" s="9"/>
      <c r="F1" s="9"/>
    </row>
    <row r="3" spans="1:6" x14ac:dyDescent="0.6">
      <c r="A3" s="2" t="s">
        <v>47</v>
      </c>
      <c r="B3" s="2" t="s">
        <v>3</v>
      </c>
      <c r="C3" s="2" t="s">
        <v>4</v>
      </c>
      <c r="D3" s="2" t="s">
        <v>5</v>
      </c>
      <c r="E3" s="2" t="s">
        <v>48</v>
      </c>
      <c r="F3" s="2" t="s">
        <v>19</v>
      </c>
    </row>
    <row r="4" spans="1:6" x14ac:dyDescent="0.6">
      <c r="A4" s="3" t="s">
        <v>49</v>
      </c>
      <c r="B4" s="4"/>
      <c r="C4" s="4"/>
      <c r="D4" s="4"/>
      <c r="E4" s="5" t="e">
        <f>AVERAGE(B4:D4)</f>
        <v>#DIV/0!</v>
      </c>
      <c r="F4" s="6" t="s">
        <v>50</v>
      </c>
    </row>
    <row r="5" spans="1:6" x14ac:dyDescent="0.6">
      <c r="A5" s="3" t="s">
        <v>51</v>
      </c>
      <c r="B5" s="4"/>
      <c r="C5" s="4"/>
      <c r="D5" s="4"/>
      <c r="E5" s="5" t="e">
        <f>AVERAGE(B5:D5)</f>
        <v>#DIV/0!</v>
      </c>
      <c r="F5" s="6" t="s">
        <v>52</v>
      </c>
    </row>
    <row r="6" spans="1:6" x14ac:dyDescent="0.6">
      <c r="A6" s="3" t="s">
        <v>53</v>
      </c>
      <c r="B6" s="4"/>
      <c r="C6" s="4"/>
      <c r="D6" s="4"/>
      <c r="E6" s="5" t="e">
        <f>AVERAGE(B6:D6)</f>
        <v>#DIV/0!</v>
      </c>
      <c r="F6" s="6" t="s">
        <v>54</v>
      </c>
    </row>
    <row r="7" spans="1:6" x14ac:dyDescent="0.6">
      <c r="A7" s="3" t="s">
        <v>55</v>
      </c>
      <c r="B7" s="4"/>
      <c r="C7" s="4"/>
      <c r="D7" s="4"/>
      <c r="E7" s="5" t="e">
        <f>AVERAGE(B7:D7)</f>
        <v>#DIV/0!</v>
      </c>
      <c r="F7" s="6" t="s">
        <v>56</v>
      </c>
    </row>
    <row r="8" spans="1:6" x14ac:dyDescent="0.6">
      <c r="A8" s="3" t="s">
        <v>57</v>
      </c>
      <c r="B8" s="4"/>
      <c r="C8" s="4"/>
      <c r="D8" s="4"/>
      <c r="E8" s="5" t="e">
        <f>AVERAGE(B8:D8)</f>
        <v>#DIV/0!</v>
      </c>
      <c r="F8" s="6" t="e">
        <f>AVERAGE(B7:D7)</f>
        <v>#DIV/0!</v>
      </c>
    </row>
  </sheetData>
  <mergeCells count="1">
    <mergeCell ref="A1:F1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>
      <selection sqref="A1:F1"/>
    </sheetView>
  </sheetViews>
  <sheetFormatPr defaultRowHeight="16.899999999999999" x14ac:dyDescent="0.6"/>
  <cols>
    <col min="1" max="1" width="14" customWidth="1"/>
  </cols>
  <sheetData>
    <row r="1" spans="1:6" ht="20.65" x14ac:dyDescent="0.7">
      <c r="A1" s="8" t="s">
        <v>58</v>
      </c>
      <c r="B1" s="9"/>
      <c r="C1" s="9"/>
      <c r="D1" s="9"/>
      <c r="E1" s="9"/>
      <c r="F1" s="9"/>
    </row>
    <row r="3" spans="1:6" x14ac:dyDescent="0.6">
      <c r="A3" s="7" t="s">
        <v>59</v>
      </c>
      <c r="B3" s="7" t="s">
        <v>60</v>
      </c>
      <c r="C3" s="7" t="s">
        <v>61</v>
      </c>
      <c r="D3" s="7" t="s">
        <v>62</v>
      </c>
      <c r="E3" s="7" t="s">
        <v>63</v>
      </c>
      <c r="F3" s="7" t="s">
        <v>64</v>
      </c>
    </row>
    <row r="4" spans="1:6" x14ac:dyDescent="0.6">
      <c r="A4" s="3" t="s">
        <v>65</v>
      </c>
      <c r="B4" s="5" t="str">
        <f ca="1">$B$4*16</f>
        <v/>
      </c>
      <c r="C4" s="5" t="str">
        <f ca="1">$B$4*18</f>
        <v/>
      </c>
      <c r="D4" s="5" t="str">
        <f ca="1">$B$4*20</f>
        <v/>
      </c>
      <c r="E4" s="5" t="str">
        <f ca="1">$B$4*22</f>
        <v/>
      </c>
      <c r="F4" s="5" t="str">
        <f ca="1">$B$4*24</f>
        <v/>
      </c>
    </row>
    <row r="5" spans="1:6" x14ac:dyDescent="0.6">
      <c r="A5" s="3" t="s">
        <v>66</v>
      </c>
      <c r="B5" s="5" t="str">
        <f ca="1">$B$5*16</f>
        <v/>
      </c>
      <c r="C5" s="5" t="str">
        <f ca="1">$B$5*18</f>
        <v/>
      </c>
      <c r="D5" s="5" t="str">
        <f ca="1">$B$5*20</f>
        <v/>
      </c>
      <c r="E5" s="5" t="str">
        <f ca="1">$B$5*22</f>
        <v/>
      </c>
      <c r="F5" s="5" t="str">
        <f ca="1">$B$5*24</f>
        <v/>
      </c>
    </row>
    <row r="6" spans="1:6" x14ac:dyDescent="0.6">
      <c r="A6" s="3" t="s">
        <v>67</v>
      </c>
      <c r="B6" s="5" t="str">
        <f ca="1">$B$6*16</f>
        <v/>
      </c>
      <c r="C6" s="5" t="str">
        <f ca="1">$B$6*18</f>
        <v/>
      </c>
      <c r="D6" s="5" t="str">
        <f ca="1">$B$6*20</f>
        <v/>
      </c>
      <c r="E6" s="5" t="str">
        <f ca="1">$B$6*22</f>
        <v/>
      </c>
      <c r="F6" s="5" t="str">
        <f ca="1">$B$6*24</f>
        <v/>
      </c>
    </row>
  </sheetData>
  <mergeCells count="1">
    <mergeCell ref="A1:F1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workbookViewId="0">
      <selection sqref="A1:F1"/>
    </sheetView>
  </sheetViews>
  <sheetFormatPr defaultRowHeight="16.899999999999999" x14ac:dyDescent="0.6"/>
  <cols>
    <col min="1" max="1" width="14" customWidth="1"/>
  </cols>
  <sheetData>
    <row r="1" spans="1:6" ht="20.65" x14ac:dyDescent="0.7">
      <c r="A1" s="8" t="s">
        <v>68</v>
      </c>
      <c r="B1" s="9"/>
      <c r="C1" s="9"/>
      <c r="D1" s="9"/>
      <c r="E1" s="9"/>
      <c r="F1" s="9"/>
    </row>
    <row r="3" spans="1:6" x14ac:dyDescent="0.6">
      <c r="A3" s="7" t="s">
        <v>69</v>
      </c>
      <c r="B3" s="7" t="s">
        <v>70</v>
      </c>
      <c r="C3" s="7" t="s">
        <v>71</v>
      </c>
      <c r="D3" s="7" t="s">
        <v>4</v>
      </c>
      <c r="E3" s="7" t="s">
        <v>72</v>
      </c>
      <c r="F3" s="7" t="s">
        <v>73</v>
      </c>
    </row>
    <row r="4" spans="1:6" x14ac:dyDescent="0.6">
      <c r="A4" s="3" t="s">
        <v>74</v>
      </c>
      <c r="B4" s="4"/>
      <c r="C4" s="4"/>
      <c r="D4" s="4"/>
      <c r="E4" s="4"/>
      <c r="F4" s="4"/>
    </row>
    <row r="5" spans="1:6" x14ac:dyDescent="0.6">
      <c r="A5" s="3" t="s">
        <v>75</v>
      </c>
      <c r="B5" s="4"/>
      <c r="C5" s="4"/>
      <c r="D5" s="4"/>
      <c r="E5" s="4"/>
      <c r="F5" s="4"/>
    </row>
    <row r="6" spans="1:6" x14ac:dyDescent="0.6">
      <c r="A6" s="3" t="s">
        <v>4</v>
      </c>
      <c r="B6" s="4"/>
      <c r="C6" s="4"/>
      <c r="D6" s="4"/>
      <c r="E6" s="4"/>
      <c r="F6" s="4"/>
    </row>
    <row r="7" spans="1:6" x14ac:dyDescent="0.6">
      <c r="A7" s="3" t="s">
        <v>76</v>
      </c>
      <c r="B7" s="4"/>
      <c r="C7" s="4"/>
      <c r="D7" s="4"/>
      <c r="E7" s="4"/>
      <c r="F7" s="4"/>
    </row>
    <row r="8" spans="1:6" x14ac:dyDescent="0.6">
      <c r="A8" s="3" t="s">
        <v>77</v>
      </c>
      <c r="B8" s="4"/>
      <c r="C8" s="4"/>
      <c r="D8" s="4"/>
      <c r="E8" s="4"/>
      <c r="F8" s="4"/>
    </row>
  </sheetData>
  <mergeCells count="1">
    <mergeCell ref="A1:F1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57728"/>
  </sheetPr>
  <dimension ref="A1:D13"/>
  <sheetViews>
    <sheetView workbookViewId="0">
      <selection sqref="A1:D1"/>
    </sheetView>
  </sheetViews>
  <sheetFormatPr defaultRowHeight="16.899999999999999" x14ac:dyDescent="0.6"/>
  <cols>
    <col min="1" max="1" width="25" customWidth="1"/>
    <col min="2" max="2" width="35" customWidth="1"/>
  </cols>
  <sheetData>
    <row r="1" spans="1:4" ht="20.65" x14ac:dyDescent="0.7">
      <c r="A1" s="8" t="s">
        <v>78</v>
      </c>
      <c r="B1" s="9"/>
      <c r="C1" s="9"/>
      <c r="D1" s="9"/>
    </row>
    <row r="3" spans="1:4" x14ac:dyDescent="0.6">
      <c r="A3" s="3" t="s">
        <v>79</v>
      </c>
      <c r="B3" s="4"/>
    </row>
    <row r="4" spans="1:4" x14ac:dyDescent="0.6">
      <c r="A4" s="3" t="s">
        <v>80</v>
      </c>
      <c r="B4" s="4"/>
    </row>
    <row r="5" spans="1:4" x14ac:dyDescent="0.6">
      <c r="A5" s="3" t="s">
        <v>81</v>
      </c>
      <c r="B5" s="4"/>
    </row>
    <row r="6" spans="1:4" x14ac:dyDescent="0.6">
      <c r="A6" s="3" t="s">
        <v>82</v>
      </c>
      <c r="B6" s="5" t="e">
        <f>Valuation!E8</f>
        <v>#DIV/0!</v>
      </c>
    </row>
    <row r="7" spans="1:4" x14ac:dyDescent="0.6">
      <c r="A7" s="3" t="s">
        <v>83</v>
      </c>
      <c r="B7" s="4"/>
    </row>
    <row r="8" spans="1:4" x14ac:dyDescent="0.6">
      <c r="A8" s="3" t="s">
        <v>84</v>
      </c>
      <c r="B8" s="5">
        <f>IFERROR((B6-B7)/B7*100,0)</f>
        <v>0</v>
      </c>
    </row>
    <row r="9" spans="1:4" x14ac:dyDescent="0.6">
      <c r="A9" s="3" t="s">
        <v>85</v>
      </c>
      <c r="B9" s="5">
        <f>IS!B4</f>
        <v>0</v>
      </c>
    </row>
    <row r="10" spans="1:4" x14ac:dyDescent="0.6">
      <c r="A10" s="3" t="s">
        <v>86</v>
      </c>
      <c r="B10" s="5">
        <f>IS!B9</f>
        <v>0</v>
      </c>
    </row>
    <row r="11" spans="1:4" x14ac:dyDescent="0.6">
      <c r="A11" s="3" t="s">
        <v>87</v>
      </c>
      <c r="B11" s="5">
        <f>IS!B11</f>
        <v>0</v>
      </c>
    </row>
    <row r="12" spans="1:4" x14ac:dyDescent="0.6">
      <c r="A12" s="3" t="s">
        <v>88</v>
      </c>
      <c r="B12" s="4"/>
    </row>
    <row r="13" spans="1:4" x14ac:dyDescent="0.6">
      <c r="A13" s="3" t="s">
        <v>89</v>
      </c>
      <c r="B13" s="5" t="str">
        <f>BS!B9</f>
        <v>OK</v>
      </c>
    </row>
  </sheetData>
  <mergeCells count="1">
    <mergeCell ref="A1:D1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Assumptions</vt:lpstr>
      <vt:lpstr>IS</vt:lpstr>
      <vt:lpstr>BS</vt:lpstr>
      <vt:lpstr>CF</vt:lpstr>
      <vt:lpstr>Valuation</vt:lpstr>
      <vt:lpstr>Scenario</vt:lpstr>
      <vt:lpstr>Sensitivity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동원 이</cp:lastModifiedBy>
  <dcterms:created xsi:type="dcterms:W3CDTF">2026-05-09T04:48:29Z</dcterms:created>
  <dcterms:modified xsi:type="dcterms:W3CDTF">2026-05-09T04:53:51Z</dcterms:modified>
</cp:coreProperties>
</file>